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ri\Documents\Titanio\elipsoide_global_semieixos08\"/>
    </mc:Choice>
  </mc:AlternateContent>
  <xr:revisionPtr revIDLastSave="0" documentId="13_ncr:1_{DE841E68-D2A9-47B3-8B52-B4972404C5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M20" i="1"/>
  <c r="N20" i="1" s="1"/>
  <c r="O19" i="1"/>
  <c r="M19" i="1"/>
  <c r="N19" i="1" s="1"/>
  <c r="O18" i="1"/>
  <c r="M18" i="1"/>
  <c r="N18" i="1" s="1"/>
  <c r="O17" i="1"/>
  <c r="M17" i="1"/>
  <c r="N17" i="1" s="1"/>
  <c r="O16" i="1"/>
  <c r="M16" i="1"/>
  <c r="N16" i="1" s="1"/>
  <c r="O15" i="1"/>
  <c r="M15" i="1"/>
  <c r="O14" i="1"/>
  <c r="M14" i="1"/>
  <c r="N14" i="1" s="1"/>
  <c r="O13" i="1"/>
  <c r="M13" i="1"/>
  <c r="N13" i="1" s="1"/>
  <c r="O12" i="1"/>
  <c r="M12" i="1"/>
  <c r="N12" i="1" s="1"/>
  <c r="O11" i="1"/>
  <c r="M11" i="1"/>
  <c r="N11" i="1" s="1"/>
  <c r="O10" i="1"/>
  <c r="M10" i="1"/>
  <c r="N10" i="1" s="1"/>
  <c r="O9" i="1"/>
  <c r="M9" i="1"/>
  <c r="N9" i="1" s="1"/>
  <c r="O8" i="1"/>
  <c r="M8" i="1"/>
  <c r="N8" i="1" s="1"/>
  <c r="O7" i="1"/>
  <c r="M7" i="1"/>
  <c r="N7" i="1" s="1"/>
  <c r="O6" i="1"/>
  <c r="M6" i="1"/>
  <c r="N6" i="1" s="1"/>
  <c r="O5" i="1"/>
  <c r="M5" i="1"/>
  <c r="N5" i="1" s="1"/>
  <c r="O4" i="1"/>
  <c r="M4" i="1"/>
  <c r="N4" i="1" s="1"/>
  <c r="O3" i="1"/>
  <c r="M3" i="1"/>
  <c r="N3" i="1" s="1"/>
  <c r="O2" i="1"/>
  <c r="M2" i="1"/>
  <c r="N2" i="1" s="1"/>
  <c r="N15" i="1" l="1"/>
</calcChain>
</file>

<file path=xl/sharedStrings.xml><?xml version="1.0" encoding="utf-8"?>
<sst xmlns="http://schemas.openxmlformats.org/spreadsheetml/2006/main" count="22" uniqueCount="19">
  <si>
    <t>Vc</t>
  </si>
  <si>
    <t>f</t>
  </si>
  <si>
    <t>ap</t>
  </si>
  <si>
    <t>Ra</t>
  </si>
  <si>
    <t>Ry</t>
  </si>
  <si>
    <t>Rz</t>
  </si>
  <si>
    <t>Rq</t>
  </si>
  <si>
    <t>Rt</t>
  </si>
  <si>
    <t>rsm</t>
  </si>
  <si>
    <t>T(Min)</t>
  </si>
  <si>
    <t>Tc(Min)</t>
  </si>
  <si>
    <t>Kp(U$)</t>
  </si>
  <si>
    <t>MRR(cm3/min)</t>
  </si>
  <si>
    <t>EEC(J/mm3)</t>
  </si>
  <si>
    <t>Pc(W)=FzxVc/60</t>
  </si>
  <si>
    <t>Fz(N)</t>
  </si>
  <si>
    <t>mahalanobis_centroide</t>
  </si>
  <si>
    <t>razao_a_b</t>
  </si>
  <si>
    <t>razao_b_c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</si>
</sst>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R2" sqref="R2:S20"/>
    </sheetView>
  </sheetViews>
  <sheetFormatPr defaultRowHeight="15" x14ac:dyDescent="0.25"/>
  <cols>
    <col min="5" max="16" width="0" hidden="1" customWidth="1"/>
    <col min="17" max="17" width="22.28515625" bestFit="1" customWidth="1"/>
    <col min="18" max="18" width="12.5703125" bestFit="1" customWidth="1"/>
    <col min="19" max="19" width="13.7109375" bestFit="1" customWidth="1"/>
  </cols>
  <sheetData>
    <row r="1" spans="1:2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V1" s="1" t="s">
        <v>0</v>
      </c>
      <c r="W1" s="1" t="s">
        <v>1</v>
      </c>
      <c r="X1" s="1" t="s">
        <v>2</v>
      </c>
      <c r="Y1" s="1"/>
    </row>
    <row r="2" spans="1:25" ht="15.75" thickBot="1" x14ac:dyDescent="0.3">
      <c r="A2" s="3">
        <v>135</v>
      </c>
      <c r="B2" s="4">
        <v>0.05</v>
      </c>
      <c r="C2" s="4">
        <v>0.15</v>
      </c>
      <c r="D2" s="4">
        <v>0.32</v>
      </c>
      <c r="E2" s="4">
        <v>3.33</v>
      </c>
      <c r="F2" s="4">
        <v>2.42</v>
      </c>
      <c r="G2" s="4">
        <v>0.4</v>
      </c>
      <c r="H2" s="4">
        <v>3.34</v>
      </c>
      <c r="I2" s="3">
        <v>35</v>
      </c>
      <c r="J2" s="3">
        <v>119</v>
      </c>
      <c r="K2" s="5">
        <v>2.3199999999999998</v>
      </c>
      <c r="L2" s="6">
        <v>2.99</v>
      </c>
      <c r="M2" s="7">
        <f t="shared" ref="M2:M20" si="0">A2*B2*C2</f>
        <v>1.0125</v>
      </c>
      <c r="N2" s="8">
        <f t="shared" ref="N2:N20" si="1">O2/M2/10</f>
        <v>8.4155555555555548</v>
      </c>
      <c r="O2" s="8">
        <f t="shared" ref="O2:O20" si="2">P2*A2/60</f>
        <v>85.207499999999996</v>
      </c>
      <c r="P2" s="8">
        <v>37.869999999999997</v>
      </c>
      <c r="Q2" s="14">
        <v>43.776364959022601</v>
      </c>
      <c r="R2" s="14">
        <v>2.6773103451002078</v>
      </c>
      <c r="S2" s="14">
        <v>1.82077978156771</v>
      </c>
      <c r="V2" s="13">
        <v>-1</v>
      </c>
      <c r="W2" s="13">
        <v>-1</v>
      </c>
      <c r="X2" s="13">
        <v>-1</v>
      </c>
    </row>
    <row r="3" spans="1:25" ht="15.75" thickBot="1" x14ac:dyDescent="0.3">
      <c r="A3" s="3">
        <v>225</v>
      </c>
      <c r="B3" s="4">
        <v>0.05</v>
      </c>
      <c r="C3" s="4">
        <v>0.15</v>
      </c>
      <c r="D3" s="4">
        <v>0.32</v>
      </c>
      <c r="E3" s="4">
        <v>2.79</v>
      </c>
      <c r="F3" s="4">
        <v>2.46</v>
      </c>
      <c r="G3" s="4">
        <v>0.4</v>
      </c>
      <c r="H3" s="4">
        <v>3.04</v>
      </c>
      <c r="I3" s="3">
        <v>53</v>
      </c>
      <c r="J3" s="3">
        <v>71</v>
      </c>
      <c r="K3" s="9">
        <v>1.39</v>
      </c>
      <c r="L3" s="10">
        <v>1.87</v>
      </c>
      <c r="M3" s="7">
        <f t="shared" si="0"/>
        <v>1.6875</v>
      </c>
      <c r="N3" s="8">
        <f t="shared" si="1"/>
        <v>23.5</v>
      </c>
      <c r="O3" s="8">
        <f t="shared" si="2"/>
        <v>396.5625</v>
      </c>
      <c r="P3" s="8">
        <v>105.75</v>
      </c>
      <c r="Q3" s="14">
        <v>29.733436187370749</v>
      </c>
      <c r="R3" s="14">
        <v>3.9217323283123871</v>
      </c>
      <c r="S3" s="14">
        <v>1.615518540904183</v>
      </c>
      <c r="V3" s="13">
        <v>1</v>
      </c>
      <c r="W3" s="13">
        <v>-1</v>
      </c>
      <c r="X3" s="13">
        <v>-1</v>
      </c>
    </row>
    <row r="4" spans="1:25" ht="15.75" thickBot="1" x14ac:dyDescent="0.3">
      <c r="A4" s="3">
        <v>135</v>
      </c>
      <c r="B4" s="11">
        <v>0.3</v>
      </c>
      <c r="C4" s="4">
        <v>0.15</v>
      </c>
      <c r="D4" s="4">
        <v>3.56</v>
      </c>
      <c r="E4" s="4">
        <v>14.62</v>
      </c>
      <c r="F4" s="4">
        <v>14.43</v>
      </c>
      <c r="G4" s="4">
        <v>4.0999999999999996</v>
      </c>
      <c r="H4" s="4">
        <v>14.74</v>
      </c>
      <c r="I4" s="3">
        <v>302</v>
      </c>
      <c r="J4" s="3">
        <v>101</v>
      </c>
      <c r="K4" s="9">
        <v>0.38</v>
      </c>
      <c r="L4" s="10">
        <v>2.6</v>
      </c>
      <c r="M4" s="7">
        <f t="shared" si="0"/>
        <v>6.0750000000000002</v>
      </c>
      <c r="N4" s="8">
        <f t="shared" si="1"/>
        <v>1.722962962962963</v>
      </c>
      <c r="O4" s="8">
        <f t="shared" si="2"/>
        <v>104.67000000000002</v>
      </c>
      <c r="P4" s="8">
        <v>46.52</v>
      </c>
      <c r="Q4" s="14">
        <v>34.109478240028039</v>
      </c>
      <c r="R4" s="14">
        <v>7.432771093216985</v>
      </c>
      <c r="S4" s="14">
        <v>3.7058695373419361</v>
      </c>
      <c r="V4" s="13">
        <v>-1</v>
      </c>
      <c r="W4" s="13">
        <v>1</v>
      </c>
      <c r="X4" s="13">
        <v>-1</v>
      </c>
    </row>
    <row r="5" spans="1:25" ht="15.75" thickBot="1" x14ac:dyDescent="0.3">
      <c r="A5" s="3">
        <v>225</v>
      </c>
      <c r="B5" s="11">
        <v>0.3</v>
      </c>
      <c r="C5" s="4">
        <v>0.15</v>
      </c>
      <c r="D5" s="4">
        <v>3.01</v>
      </c>
      <c r="E5" s="4">
        <v>12.97</v>
      </c>
      <c r="F5" s="4">
        <v>12.68</v>
      </c>
      <c r="G5" s="4">
        <v>3.53</v>
      </c>
      <c r="H5" s="4">
        <v>13.09</v>
      </c>
      <c r="I5" s="3">
        <v>303</v>
      </c>
      <c r="J5" s="3">
        <v>62</v>
      </c>
      <c r="K5" s="9">
        <v>0.23</v>
      </c>
      <c r="L5" s="10">
        <v>1.65</v>
      </c>
      <c r="M5" s="7">
        <f t="shared" si="0"/>
        <v>10.125</v>
      </c>
      <c r="N5" s="8">
        <f t="shared" si="1"/>
        <v>4.6748148148148143</v>
      </c>
      <c r="O5" s="8">
        <f t="shared" si="2"/>
        <v>473.32499999999999</v>
      </c>
      <c r="P5" s="8">
        <v>126.22</v>
      </c>
      <c r="Q5" s="14">
        <v>20.132956543589899</v>
      </c>
      <c r="R5" s="14">
        <v>8.5220490579773358</v>
      </c>
      <c r="S5" s="14">
        <v>2.1557706375965759</v>
      </c>
      <c r="V5" s="13">
        <v>1</v>
      </c>
      <c r="W5" s="13">
        <v>1</v>
      </c>
      <c r="X5" s="13">
        <v>-1</v>
      </c>
    </row>
    <row r="6" spans="1:25" ht="15.75" thickBot="1" x14ac:dyDescent="0.3">
      <c r="A6" s="3">
        <v>135</v>
      </c>
      <c r="B6" s="4">
        <v>0.05</v>
      </c>
      <c r="C6" s="4">
        <v>0.33</v>
      </c>
      <c r="D6" s="4">
        <v>0.48</v>
      </c>
      <c r="E6" s="4">
        <v>3.73</v>
      </c>
      <c r="F6" s="4">
        <v>2.87</v>
      </c>
      <c r="G6" s="4">
        <v>0.57999999999999996</v>
      </c>
      <c r="H6" s="4">
        <v>4.01</v>
      </c>
      <c r="I6" s="3">
        <v>48</v>
      </c>
      <c r="J6" s="3">
        <v>120</v>
      </c>
      <c r="K6" s="9">
        <v>2.3199999999999998</v>
      </c>
      <c r="L6" s="10">
        <v>3.97</v>
      </c>
      <c r="M6" s="7">
        <f t="shared" si="0"/>
        <v>2.2275</v>
      </c>
      <c r="N6" s="8">
        <f t="shared" si="1"/>
        <v>4.6808080808080819</v>
      </c>
      <c r="O6" s="8">
        <f t="shared" si="2"/>
        <v>104.26500000000001</v>
      </c>
      <c r="P6" s="8">
        <v>46.34</v>
      </c>
      <c r="Q6" s="14">
        <v>43.09678931980261</v>
      </c>
      <c r="R6" s="14">
        <v>3.2786694977586879</v>
      </c>
      <c r="S6" s="14">
        <v>2.008442129890974</v>
      </c>
      <c r="V6" s="13">
        <v>-1</v>
      </c>
      <c r="W6" s="13">
        <v>-1</v>
      </c>
      <c r="X6" s="13">
        <v>1</v>
      </c>
    </row>
    <row r="7" spans="1:25" ht="15.75" thickBot="1" x14ac:dyDescent="0.3">
      <c r="A7" s="3">
        <v>225</v>
      </c>
      <c r="B7" s="4">
        <v>0.05</v>
      </c>
      <c r="C7" s="4">
        <v>0.33</v>
      </c>
      <c r="D7" s="4">
        <v>0.41</v>
      </c>
      <c r="E7" s="4">
        <v>3.23</v>
      </c>
      <c r="F7" s="4">
        <v>2.9</v>
      </c>
      <c r="G7" s="4">
        <v>0.53</v>
      </c>
      <c r="H7" s="4">
        <v>3.24</v>
      </c>
      <c r="I7" s="3">
        <v>49</v>
      </c>
      <c r="J7" s="3">
        <v>59</v>
      </c>
      <c r="K7" s="9">
        <v>1.39</v>
      </c>
      <c r="L7" s="10">
        <v>2.31</v>
      </c>
      <c r="M7" s="7">
        <f t="shared" si="0"/>
        <v>3.7125000000000004</v>
      </c>
      <c r="N7" s="8">
        <f t="shared" si="1"/>
        <v>10.644444444444444</v>
      </c>
      <c r="O7" s="8">
        <f t="shared" si="2"/>
        <v>395.17500000000001</v>
      </c>
      <c r="P7" s="8">
        <v>105.38</v>
      </c>
      <c r="Q7" s="14">
        <v>49.595209607713748</v>
      </c>
      <c r="R7" s="14">
        <v>3.1358926286883668</v>
      </c>
      <c r="S7" s="14">
        <v>2.615198977226791</v>
      </c>
      <c r="V7" s="13">
        <v>1</v>
      </c>
      <c r="W7" s="13">
        <v>-1</v>
      </c>
      <c r="X7" s="13">
        <v>1</v>
      </c>
    </row>
    <row r="8" spans="1:25" ht="15.75" thickBot="1" x14ac:dyDescent="0.3">
      <c r="A8" s="3">
        <v>135</v>
      </c>
      <c r="B8" s="11">
        <v>0.3</v>
      </c>
      <c r="C8" s="4">
        <v>0.33</v>
      </c>
      <c r="D8" s="4">
        <v>3.85</v>
      </c>
      <c r="E8" s="4">
        <v>15.16</v>
      </c>
      <c r="F8" s="4">
        <v>14.86</v>
      </c>
      <c r="G8" s="4">
        <v>4.45</v>
      </c>
      <c r="H8" s="4">
        <v>15.16</v>
      </c>
      <c r="I8" s="3">
        <v>302</v>
      </c>
      <c r="J8" s="3">
        <v>101</v>
      </c>
      <c r="K8" s="9">
        <v>0.38</v>
      </c>
      <c r="L8" s="10">
        <v>3.33</v>
      </c>
      <c r="M8" s="7">
        <f t="shared" si="0"/>
        <v>13.365</v>
      </c>
      <c r="N8" s="8">
        <f t="shared" si="1"/>
        <v>0.8346801346801348</v>
      </c>
      <c r="O8" s="8">
        <f t="shared" si="2"/>
        <v>111.55500000000001</v>
      </c>
      <c r="P8" s="8">
        <v>49.58</v>
      </c>
      <c r="Q8" s="14">
        <v>64.100943966604277</v>
      </c>
      <c r="R8" s="14">
        <v>1.873260032707643</v>
      </c>
      <c r="S8" s="14">
        <v>9.7123758998484817</v>
      </c>
      <c r="V8" s="13">
        <v>-1</v>
      </c>
      <c r="W8" s="13">
        <v>1</v>
      </c>
      <c r="X8" s="13">
        <v>1</v>
      </c>
    </row>
    <row r="9" spans="1:25" ht="15.75" thickBot="1" x14ac:dyDescent="0.3">
      <c r="A9" s="3">
        <v>225</v>
      </c>
      <c r="B9" s="11">
        <v>0.3</v>
      </c>
      <c r="C9" s="4">
        <v>0.33</v>
      </c>
      <c r="D9" s="4">
        <v>3.61</v>
      </c>
      <c r="E9" s="4">
        <v>15.26</v>
      </c>
      <c r="F9" s="4">
        <v>14.59</v>
      </c>
      <c r="G9" s="4">
        <v>4.2</v>
      </c>
      <c r="H9" s="4">
        <v>15.7</v>
      </c>
      <c r="I9" s="3">
        <v>305</v>
      </c>
      <c r="J9" s="3">
        <v>59</v>
      </c>
      <c r="K9" s="9">
        <v>0.23</v>
      </c>
      <c r="L9" s="10">
        <v>1.41</v>
      </c>
      <c r="M9" s="7">
        <f t="shared" si="0"/>
        <v>22.275000000000002</v>
      </c>
      <c r="N9" s="8">
        <f t="shared" si="1"/>
        <v>2.209090909090909</v>
      </c>
      <c r="O9" s="8">
        <f t="shared" si="2"/>
        <v>492.07499999999999</v>
      </c>
      <c r="P9" s="8">
        <v>131.22</v>
      </c>
      <c r="Q9" s="14">
        <v>200.79995185449641</v>
      </c>
      <c r="R9" s="14">
        <v>1.9903226820676541</v>
      </c>
      <c r="S9" s="14">
        <v>2.544714608608206</v>
      </c>
      <c r="V9" s="13">
        <v>1</v>
      </c>
      <c r="W9" s="13">
        <v>1</v>
      </c>
      <c r="X9" s="13">
        <v>1</v>
      </c>
    </row>
    <row r="10" spans="1:25" ht="15.75" thickBot="1" x14ac:dyDescent="0.3">
      <c r="A10" s="3">
        <v>104.31</v>
      </c>
      <c r="B10" s="12">
        <v>0.17499999999999999</v>
      </c>
      <c r="C10" s="4">
        <v>0.25</v>
      </c>
      <c r="D10" s="4">
        <v>1.06</v>
      </c>
      <c r="E10" s="4">
        <v>5.34</v>
      </c>
      <c r="F10" s="4">
        <v>5.05</v>
      </c>
      <c r="G10" s="4">
        <v>1.24</v>
      </c>
      <c r="H10" s="4">
        <v>5.39</v>
      </c>
      <c r="I10" s="3">
        <v>145</v>
      </c>
      <c r="J10" s="3">
        <v>118</v>
      </c>
      <c r="K10" s="9">
        <v>0.86</v>
      </c>
      <c r="L10" s="10">
        <v>4.2</v>
      </c>
      <c r="M10" s="7">
        <f t="shared" si="0"/>
        <v>4.5635624999999997</v>
      </c>
      <c r="N10" s="8">
        <f t="shared" si="1"/>
        <v>1.5188571428571427</v>
      </c>
      <c r="O10" s="8">
        <f t="shared" si="2"/>
        <v>69.313994999999991</v>
      </c>
      <c r="P10" s="8">
        <v>39.869999999999997</v>
      </c>
      <c r="Q10" s="14">
        <v>27.349901718329122</v>
      </c>
      <c r="R10" s="14">
        <v>2.839085905761757</v>
      </c>
      <c r="S10" s="14">
        <v>3.296078395137831</v>
      </c>
      <c r="V10" s="13">
        <v>-1.681792830507429</v>
      </c>
      <c r="W10" s="13">
        <v>0</v>
      </c>
      <c r="X10" s="13">
        <v>0</v>
      </c>
    </row>
    <row r="11" spans="1:25" ht="15.75" thickBot="1" x14ac:dyDescent="0.3">
      <c r="A11" s="3">
        <v>255.68</v>
      </c>
      <c r="B11" s="12">
        <v>0.17499999999999999</v>
      </c>
      <c r="C11" s="4">
        <v>0.25</v>
      </c>
      <c r="D11" s="4">
        <v>1.19</v>
      </c>
      <c r="E11" s="4">
        <v>7.03</v>
      </c>
      <c r="F11" s="4">
        <v>6.6</v>
      </c>
      <c r="G11" s="4">
        <v>1.49</v>
      </c>
      <c r="H11" s="4">
        <v>7.2</v>
      </c>
      <c r="I11" s="3">
        <v>86</v>
      </c>
      <c r="J11" s="3">
        <v>56</v>
      </c>
      <c r="K11" s="9">
        <v>0.35</v>
      </c>
      <c r="L11" s="10">
        <v>1.48</v>
      </c>
      <c r="M11" s="7">
        <f t="shared" si="0"/>
        <v>11.186</v>
      </c>
      <c r="N11" s="8">
        <f t="shared" si="1"/>
        <v>5.6518095238095238</v>
      </c>
      <c r="O11" s="8">
        <f t="shared" si="2"/>
        <v>632.21141333333333</v>
      </c>
      <c r="P11" s="8">
        <v>148.36000000000001</v>
      </c>
      <c r="Q11" s="14">
        <v>39.723695121429003</v>
      </c>
      <c r="R11" s="14">
        <v>2.3520538079152988</v>
      </c>
      <c r="S11" s="14">
        <v>6.9050942579712604</v>
      </c>
      <c r="V11" s="13">
        <v>1.681792830507429</v>
      </c>
      <c r="W11" s="13">
        <v>0</v>
      </c>
      <c r="X11" s="13">
        <v>0</v>
      </c>
    </row>
    <row r="12" spans="1:25" ht="15.75" thickBot="1" x14ac:dyDescent="0.3">
      <c r="A12" s="3">
        <v>180</v>
      </c>
      <c r="B12" s="12">
        <v>3.5000000000000003E-2</v>
      </c>
      <c r="C12" s="4">
        <v>0.25</v>
      </c>
      <c r="D12" s="4">
        <v>0.25</v>
      </c>
      <c r="E12" s="4">
        <v>2.1</v>
      </c>
      <c r="F12" s="4">
        <v>1.64</v>
      </c>
      <c r="G12" s="4">
        <v>0.31</v>
      </c>
      <c r="H12" s="4">
        <v>2.1</v>
      </c>
      <c r="I12" s="3">
        <v>29</v>
      </c>
      <c r="J12" s="3">
        <v>76</v>
      </c>
      <c r="K12" s="9">
        <v>2.4900000000000002</v>
      </c>
      <c r="L12" s="10">
        <v>3.44</v>
      </c>
      <c r="M12" s="7">
        <f t="shared" si="0"/>
        <v>1.5750000000000002</v>
      </c>
      <c r="N12" s="8">
        <f t="shared" si="1"/>
        <v>17.064761904761905</v>
      </c>
      <c r="O12" s="8">
        <f t="shared" si="2"/>
        <v>268.77000000000004</v>
      </c>
      <c r="P12" s="8">
        <v>89.59</v>
      </c>
      <c r="Q12" s="14">
        <v>54.810911319263752</v>
      </c>
      <c r="R12" s="14">
        <v>2.78453871602568</v>
      </c>
      <c r="S12" s="14">
        <v>2.076598590356479</v>
      </c>
      <c r="V12" s="13">
        <v>0</v>
      </c>
      <c r="W12" s="13">
        <v>-1.681792830507429</v>
      </c>
      <c r="X12" s="13">
        <v>0</v>
      </c>
    </row>
    <row r="13" spans="1:25" ht="15.75" thickBot="1" x14ac:dyDescent="0.3">
      <c r="A13" s="3">
        <v>180</v>
      </c>
      <c r="B13" s="12">
        <v>0.38500000000000001</v>
      </c>
      <c r="C13" s="4">
        <v>0.25</v>
      </c>
      <c r="D13" s="4">
        <v>5.98</v>
      </c>
      <c r="E13" s="4">
        <v>24.47</v>
      </c>
      <c r="F13" s="4">
        <v>24.16</v>
      </c>
      <c r="G13" s="4">
        <v>6.86</v>
      </c>
      <c r="H13" s="4">
        <v>24.99</v>
      </c>
      <c r="I13" s="3">
        <v>383</v>
      </c>
      <c r="J13" s="3">
        <v>80</v>
      </c>
      <c r="K13" s="9">
        <v>0.22</v>
      </c>
      <c r="L13" s="10">
        <v>1.94</v>
      </c>
      <c r="M13" s="7">
        <f t="shared" si="0"/>
        <v>17.324999999999999</v>
      </c>
      <c r="N13" s="8">
        <f t="shared" si="1"/>
        <v>1.7040692640692641</v>
      </c>
      <c r="O13" s="8">
        <f t="shared" si="2"/>
        <v>295.22999999999996</v>
      </c>
      <c r="P13" s="8">
        <v>98.41</v>
      </c>
      <c r="Q13" s="14">
        <v>76.613413439936423</v>
      </c>
      <c r="R13" s="14">
        <v>1.8573316003611029</v>
      </c>
      <c r="S13" s="14">
        <v>12.299000332481571</v>
      </c>
      <c r="V13" s="13">
        <v>0</v>
      </c>
      <c r="W13" s="13">
        <v>1.681792830507429</v>
      </c>
      <c r="X13" s="13">
        <v>0</v>
      </c>
    </row>
    <row r="14" spans="1:25" ht="15.75" thickBot="1" x14ac:dyDescent="0.3">
      <c r="A14" s="3">
        <v>180</v>
      </c>
      <c r="B14" s="12">
        <v>0.17499999999999999</v>
      </c>
      <c r="C14" s="4">
        <v>3.2000000000000001E-2</v>
      </c>
      <c r="D14" s="4">
        <v>1.18</v>
      </c>
      <c r="E14" s="4">
        <v>5.81</v>
      </c>
      <c r="F14" s="4">
        <v>5.63</v>
      </c>
      <c r="G14" s="4">
        <v>1.41</v>
      </c>
      <c r="H14" s="4">
        <v>5.99</v>
      </c>
      <c r="I14" s="3">
        <v>173</v>
      </c>
      <c r="J14" s="3">
        <v>98.5</v>
      </c>
      <c r="K14" s="9">
        <v>0.49</v>
      </c>
      <c r="L14" s="10">
        <v>1.81</v>
      </c>
      <c r="M14" s="7">
        <f t="shared" si="0"/>
        <v>1.008</v>
      </c>
      <c r="N14" s="8">
        <f t="shared" si="1"/>
        <v>26.889880952380945</v>
      </c>
      <c r="O14" s="8">
        <f t="shared" si="2"/>
        <v>271.04999999999995</v>
      </c>
      <c r="P14" s="8">
        <v>90.35</v>
      </c>
      <c r="Q14" s="14">
        <v>40.020096146631801</v>
      </c>
      <c r="R14" s="14">
        <v>3.7621009979091511</v>
      </c>
      <c r="S14" s="14">
        <v>2.8093198177168941</v>
      </c>
      <c r="V14" s="13">
        <v>0</v>
      </c>
      <c r="W14" s="13">
        <v>0</v>
      </c>
      <c r="X14" s="13">
        <v>-1.681792830507429</v>
      </c>
    </row>
    <row r="15" spans="1:25" ht="15.75" thickBot="1" x14ac:dyDescent="0.3">
      <c r="A15" s="3">
        <v>180</v>
      </c>
      <c r="B15" s="12">
        <v>0.17499999999999999</v>
      </c>
      <c r="C15" s="4">
        <v>0.36799999999999999</v>
      </c>
      <c r="D15" s="4">
        <v>1.34</v>
      </c>
      <c r="E15" s="4">
        <v>6.69</v>
      </c>
      <c r="F15" s="4">
        <v>6.4</v>
      </c>
      <c r="G15" s="4">
        <v>1.59</v>
      </c>
      <c r="H15" s="4">
        <v>6.82</v>
      </c>
      <c r="I15" s="3">
        <v>174</v>
      </c>
      <c r="J15" s="3">
        <v>96</v>
      </c>
      <c r="K15" s="9">
        <v>0.49</v>
      </c>
      <c r="L15" s="10">
        <v>2.56</v>
      </c>
      <c r="M15" s="7">
        <f t="shared" si="0"/>
        <v>11.591999999999999</v>
      </c>
      <c r="N15" s="8">
        <f t="shared" si="1"/>
        <v>2.3276397515527956</v>
      </c>
      <c r="O15" s="8">
        <f t="shared" si="2"/>
        <v>269.82</v>
      </c>
      <c r="P15" s="8">
        <v>89.94</v>
      </c>
      <c r="Q15" s="14">
        <v>75.970028330901982</v>
      </c>
      <c r="R15" s="14">
        <v>2.8041323830094091</v>
      </c>
      <c r="S15" s="14">
        <v>2.401289737192903</v>
      </c>
      <c r="V15" s="13">
        <v>0</v>
      </c>
      <c r="W15" s="13">
        <v>0</v>
      </c>
      <c r="X15" s="13">
        <v>1.681792830507429</v>
      </c>
    </row>
    <row r="16" spans="1:25" ht="15.75" thickBot="1" x14ac:dyDescent="0.3">
      <c r="A16" s="3">
        <v>180</v>
      </c>
      <c r="B16" s="12">
        <v>0.17499999999999999</v>
      </c>
      <c r="C16" s="4">
        <v>0.25</v>
      </c>
      <c r="D16" s="4">
        <v>1.23</v>
      </c>
      <c r="E16" s="4">
        <v>6.48</v>
      </c>
      <c r="F16" s="4">
        <v>5.51</v>
      </c>
      <c r="G16" s="4">
        <v>1.44</v>
      </c>
      <c r="H16" s="4">
        <v>6.48</v>
      </c>
      <c r="I16" s="3">
        <v>161</v>
      </c>
      <c r="J16" s="3">
        <v>89</v>
      </c>
      <c r="K16" s="9">
        <v>0.49</v>
      </c>
      <c r="L16" s="10">
        <v>2.57</v>
      </c>
      <c r="M16" s="7">
        <f t="shared" si="0"/>
        <v>7.8749999999999991</v>
      </c>
      <c r="N16" s="8">
        <f t="shared" si="1"/>
        <v>3.323809523809524</v>
      </c>
      <c r="O16" s="8">
        <f t="shared" si="2"/>
        <v>261.75</v>
      </c>
      <c r="P16" s="8">
        <v>87.25</v>
      </c>
      <c r="Q16" s="14">
        <v>48.249855541419642</v>
      </c>
      <c r="R16" s="14">
        <v>3.2804102479865578</v>
      </c>
      <c r="S16" s="14">
        <v>2.7087969161679699</v>
      </c>
      <c r="V16" s="13">
        <v>0</v>
      </c>
      <c r="W16" s="13">
        <v>0</v>
      </c>
      <c r="X16" s="13">
        <v>0</v>
      </c>
    </row>
    <row r="17" spans="1:24" ht="15.75" thickBot="1" x14ac:dyDescent="0.3">
      <c r="A17" s="3">
        <v>180</v>
      </c>
      <c r="B17" s="12">
        <v>0.17499999999999999</v>
      </c>
      <c r="C17" s="4">
        <v>0.25</v>
      </c>
      <c r="D17" s="4">
        <v>1</v>
      </c>
      <c r="E17" s="4">
        <v>5.85</v>
      </c>
      <c r="F17" s="4">
        <v>5.72</v>
      </c>
      <c r="G17" s="4">
        <v>1.26</v>
      </c>
      <c r="H17" s="4">
        <v>6.14</v>
      </c>
      <c r="I17" s="3">
        <v>81</v>
      </c>
      <c r="J17" s="3">
        <v>88</v>
      </c>
      <c r="K17" s="9">
        <v>0.49</v>
      </c>
      <c r="L17" s="10">
        <v>2.54</v>
      </c>
      <c r="M17" s="7">
        <f t="shared" si="0"/>
        <v>7.8749999999999991</v>
      </c>
      <c r="N17" s="8">
        <f t="shared" si="1"/>
        <v>3.2518095238095244</v>
      </c>
      <c r="O17" s="8">
        <f t="shared" si="2"/>
        <v>256.08</v>
      </c>
      <c r="P17" s="8">
        <v>85.36</v>
      </c>
      <c r="Q17" s="14">
        <v>50.957832549261191</v>
      </c>
      <c r="R17" s="14">
        <v>4.2632879764933929</v>
      </c>
      <c r="S17" s="14">
        <v>2.8743513922600181</v>
      </c>
      <c r="V17" s="13">
        <v>0</v>
      </c>
      <c r="W17" s="13">
        <v>0</v>
      </c>
      <c r="X17" s="13">
        <v>0</v>
      </c>
    </row>
    <row r="18" spans="1:24" ht="15.75" thickBot="1" x14ac:dyDescent="0.3">
      <c r="A18" s="3">
        <v>180</v>
      </c>
      <c r="B18" s="12">
        <v>0.17499999999999999</v>
      </c>
      <c r="C18" s="4">
        <v>0.25</v>
      </c>
      <c r="D18" s="4">
        <v>1.04</v>
      </c>
      <c r="E18" s="4">
        <v>6.09</v>
      </c>
      <c r="F18" s="4">
        <v>5.76</v>
      </c>
      <c r="G18" s="4">
        <v>1.29</v>
      </c>
      <c r="H18" s="4">
        <v>6.42</v>
      </c>
      <c r="I18" s="3">
        <v>113</v>
      </c>
      <c r="J18" s="3">
        <v>90</v>
      </c>
      <c r="K18" s="9">
        <v>0.49</v>
      </c>
      <c r="L18" s="10">
        <v>2.61</v>
      </c>
      <c r="M18" s="7">
        <f t="shared" si="0"/>
        <v>7.8749999999999991</v>
      </c>
      <c r="N18" s="8">
        <f t="shared" si="1"/>
        <v>3.2720000000000007</v>
      </c>
      <c r="O18" s="8">
        <f t="shared" si="2"/>
        <v>257.67</v>
      </c>
      <c r="P18" s="8">
        <v>85.89</v>
      </c>
      <c r="Q18" s="14">
        <v>42.757755882361927</v>
      </c>
      <c r="R18" s="14">
        <v>3.43305060778816</v>
      </c>
      <c r="S18" s="14">
        <v>3.458357343490194</v>
      </c>
      <c r="V18" s="13">
        <v>0</v>
      </c>
      <c r="W18" s="13">
        <v>0</v>
      </c>
      <c r="X18" s="13">
        <v>0</v>
      </c>
    </row>
    <row r="19" spans="1:24" ht="15.75" thickBot="1" x14ac:dyDescent="0.3">
      <c r="A19" s="3">
        <v>180</v>
      </c>
      <c r="B19" s="12">
        <v>0.17499999999999999</v>
      </c>
      <c r="C19" s="4">
        <v>0.25</v>
      </c>
      <c r="D19" s="4">
        <v>1.48</v>
      </c>
      <c r="E19" s="4">
        <v>6.73</v>
      </c>
      <c r="F19" s="4">
        <v>6.51</v>
      </c>
      <c r="G19" s="4">
        <v>1.71</v>
      </c>
      <c r="H19" s="4">
        <v>6.92</v>
      </c>
      <c r="I19" s="3">
        <v>160</v>
      </c>
      <c r="J19" s="3">
        <v>91</v>
      </c>
      <c r="K19" s="9">
        <v>0.49</v>
      </c>
      <c r="L19" s="10">
        <v>2.5299999999999998</v>
      </c>
      <c r="M19" s="7">
        <f t="shared" si="0"/>
        <v>7.8749999999999991</v>
      </c>
      <c r="N19" s="8">
        <f t="shared" si="1"/>
        <v>3.282285714285714</v>
      </c>
      <c r="O19" s="8">
        <f t="shared" si="2"/>
        <v>258.47999999999996</v>
      </c>
      <c r="P19" s="8">
        <v>86.16</v>
      </c>
      <c r="Q19" s="14">
        <v>60.352426079862383</v>
      </c>
      <c r="R19" s="14">
        <v>2.1465383637146811</v>
      </c>
      <c r="S19" s="14">
        <v>4.4436333932887457</v>
      </c>
      <c r="V19" s="13">
        <v>0</v>
      </c>
      <c r="W19" s="13">
        <v>0</v>
      </c>
      <c r="X19" s="13">
        <v>0</v>
      </c>
    </row>
    <row r="20" spans="1:24" ht="15.75" thickBot="1" x14ac:dyDescent="0.3">
      <c r="A20" s="3">
        <v>180</v>
      </c>
      <c r="B20" s="12">
        <v>0.17499999999999999</v>
      </c>
      <c r="C20" s="4">
        <v>0.25</v>
      </c>
      <c r="D20" s="4">
        <v>0.8</v>
      </c>
      <c r="E20" s="4">
        <v>4.67</v>
      </c>
      <c r="F20" s="4">
        <v>4.34</v>
      </c>
      <c r="G20" s="4">
        <v>1</v>
      </c>
      <c r="H20" s="4">
        <v>4.8</v>
      </c>
      <c r="I20" s="3">
        <v>175</v>
      </c>
      <c r="J20" s="3">
        <v>89</v>
      </c>
      <c r="K20" s="9">
        <v>0.49</v>
      </c>
      <c r="L20" s="10">
        <v>2.5</v>
      </c>
      <c r="M20" s="7">
        <f t="shared" si="0"/>
        <v>7.8749999999999991</v>
      </c>
      <c r="N20" s="8">
        <f t="shared" si="1"/>
        <v>3.2742857142857149</v>
      </c>
      <c r="O20" s="8">
        <f t="shared" si="2"/>
        <v>257.85000000000002</v>
      </c>
      <c r="P20" s="8">
        <v>85.95</v>
      </c>
      <c r="Q20" s="14">
        <v>89.635553987761753</v>
      </c>
      <c r="R20" s="14">
        <v>2.5470979997318932</v>
      </c>
      <c r="S20" s="14">
        <v>1.4625375898723989</v>
      </c>
      <c r="V20" s="13">
        <v>0</v>
      </c>
      <c r="W20" s="13">
        <v>0</v>
      </c>
      <c r="X2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Gabriel Lima</cp:lastModifiedBy>
  <dcterms:created xsi:type="dcterms:W3CDTF">2015-06-05T18:19:34Z</dcterms:created>
  <dcterms:modified xsi:type="dcterms:W3CDTF">2026-05-25T19:52:08Z</dcterms:modified>
</cp:coreProperties>
</file>